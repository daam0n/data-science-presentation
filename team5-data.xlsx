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\OneDrive\Desktop\중앙대\2-1\데이터사이언스개론\"/>
    </mc:Choice>
  </mc:AlternateContent>
  <bookViews>
    <workbookView xWindow="0" yWindow="0" windowWidth="23040" windowHeight="918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2" i="1"/>
  <c r="E3" i="1"/>
  <c r="E2" i="1"/>
</calcChain>
</file>

<file path=xl/sharedStrings.xml><?xml version="1.0" encoding="utf-8"?>
<sst xmlns="http://schemas.openxmlformats.org/spreadsheetml/2006/main" count="28" uniqueCount="24">
  <si>
    <t>연도</t>
    <phoneticPr fontId="1" type="noConversion"/>
  </si>
  <si>
    <t>과의존 위험군 청소년(%)</t>
    <phoneticPr fontId="1" type="noConversion"/>
  </si>
  <si>
    <t>상관계수</t>
    <phoneticPr fontId="1" type="noConversion"/>
  </si>
  <si>
    <t>상관계수</t>
    <phoneticPr fontId="1" type="noConversion"/>
  </si>
  <si>
    <t>스마트기기 활용시간 휴일(시간)</t>
    <phoneticPr fontId="1" type="noConversion"/>
  </si>
  <si>
    <t>스마트기기 활용시간 평일(시간)</t>
    <phoneticPr fontId="1" type="noConversion"/>
  </si>
  <si>
    <t>스마트기기 활용시간 평일(시간)</t>
    <phoneticPr fontId="1" type="noConversion"/>
  </si>
  <si>
    <t>스마트기기 활용시간 휴일(시간)</t>
    <phoneticPr fontId="1" type="noConversion"/>
  </si>
  <si>
    <t xml:space="preserve"> </t>
    <phoneticPr fontId="1" type="noConversion"/>
  </si>
  <si>
    <t xml:space="preserve">          </t>
    <phoneticPr fontId="1" type="noConversion"/>
  </si>
  <si>
    <t>연도</t>
  </si>
  <si>
    <t>비만율(%)</t>
  </si>
  <si>
    <t>수면충족률(%)</t>
  </si>
  <si>
    <t>시력이상율(%)</t>
    <phoneticPr fontId="1" type="noConversion"/>
  </si>
  <si>
    <t>주중 학습목적 이외 앉아서 보낸 시간(시간)</t>
    <phoneticPr fontId="1" type="noConversion"/>
  </si>
  <si>
    <t>주말 학습목적 이외 앉아서 보낸 시간(시간)</t>
    <phoneticPr fontId="1" type="noConversion"/>
  </si>
  <si>
    <t>여가시간 동영상 컨텐츠 시청(%)</t>
    <phoneticPr fontId="1" type="noConversion"/>
  </si>
  <si>
    <t>수면시간</t>
    <phoneticPr fontId="1" type="noConversion"/>
  </si>
  <si>
    <t>하루 60분 주 5일 이상 신체활동실천율(%)</t>
    <phoneticPr fontId="1" type="noConversion"/>
  </si>
  <si>
    <t xml:space="preserve"> </t>
    <phoneticPr fontId="1" type="noConversion"/>
  </si>
  <si>
    <t>사이버폭력 피해 경험 (%)</t>
    <phoneticPr fontId="1" type="noConversion"/>
  </si>
  <si>
    <t>디지털 혐오표현 경험 (%)</t>
    <phoneticPr fontId="1" type="noConversion"/>
  </si>
  <si>
    <t>YMHBI 점수</t>
    <phoneticPr fontId="1" type="noConversion"/>
  </si>
  <si>
    <t>주관적 건강평가 - &lt;나는 정신적으로 건강하다&gt;에서 매우 그렇다라고 답변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</si>
</sst>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0B6F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9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5F9CC"/>
      <color rgb="FFF0B6F1"/>
      <color rgb="FFCCCC00"/>
      <color rgb="FFCCCCFF"/>
      <color rgb="FFCC99FF"/>
      <color rgb="FF9999FF"/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baseline="0"/>
              <a:t>스마트기기 활용시간과 청소년 과의존 위험군 추이 </a:t>
            </a:r>
            <a:r>
              <a:rPr lang="en-US" altLang="ko-KR" sz="1400" b="0" i="0" u="none" strike="noStrike" baseline="0"/>
              <a:t>(2016~2024)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스마트기기 활용시간 평일(시간)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2016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  <c:pt idx="6">
                <c:v>2023</c:v>
              </c:pt>
              <c:pt idx="7">
                <c:v>2024</c:v>
              </c:pt>
            </c:numLit>
          </c:cat>
          <c:val>
            <c:numRef>
              <c:f>Sheet1!$B$2:$B$9</c:f>
              <c:numCache>
                <c:formatCode>General</c:formatCode>
                <c:ptCount val="8"/>
                <c:pt idx="0">
                  <c:v>2</c:v>
                </c:pt>
                <c:pt idx="1">
                  <c:v>1.9</c:v>
                </c:pt>
                <c:pt idx="2">
                  <c:v>1.9</c:v>
                </c:pt>
                <c:pt idx="3">
                  <c:v>2.8</c:v>
                </c:pt>
                <c:pt idx="4">
                  <c:v>2.6</c:v>
                </c:pt>
                <c:pt idx="5">
                  <c:v>1.8</c:v>
                </c:pt>
                <c:pt idx="6">
                  <c:v>1.8</c:v>
                </c:pt>
                <c:pt idx="7">
                  <c:v>1.7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스마트기기 활용시간 휴일(시간)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2016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  <c:pt idx="6">
                <c:v>2023</c:v>
              </c:pt>
              <c:pt idx="7">
                <c:v>2024</c:v>
              </c:pt>
            </c:numLit>
          </c:cat>
          <c:val>
            <c:numRef>
              <c:f>Sheet1!$C$2:$C$9</c:f>
              <c:numCache>
                <c:formatCode>General</c:formatCode>
                <c:ptCount val="8"/>
                <c:pt idx="0">
                  <c:v>2.6</c:v>
                </c:pt>
                <c:pt idx="1">
                  <c:v>2.8</c:v>
                </c:pt>
                <c:pt idx="2">
                  <c:v>2.6</c:v>
                </c:pt>
                <c:pt idx="3">
                  <c:v>3.6</c:v>
                </c:pt>
                <c:pt idx="4">
                  <c:v>3.4</c:v>
                </c:pt>
                <c:pt idx="5">
                  <c:v>2.6</c:v>
                </c:pt>
                <c:pt idx="6">
                  <c:v>2.6</c:v>
                </c:pt>
                <c:pt idx="7">
                  <c:v>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240048"/>
        <c:axId val="1679247120"/>
      </c:line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과의존 위험군 청소년(%)</c:v>
                </c:pt>
              </c:strCache>
            </c:strRef>
          </c:tx>
          <c:spPr>
            <a:ln w="28575" cap="rnd">
              <a:solidFill>
                <a:srgbClr val="FF3B3B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2016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  <c:pt idx="6">
                <c:v>2023</c:v>
              </c:pt>
              <c:pt idx="7">
                <c:v>2024</c:v>
              </c:pt>
            </c:numLit>
          </c:cat>
          <c:val>
            <c:numRef>
              <c:f>Sheet1!$D$2:$D$9</c:f>
              <c:numCache>
                <c:formatCode>General</c:formatCode>
                <c:ptCount val="8"/>
                <c:pt idx="0">
                  <c:v>30.6</c:v>
                </c:pt>
                <c:pt idx="1">
                  <c:v>29.3</c:v>
                </c:pt>
                <c:pt idx="2">
                  <c:v>30.2</c:v>
                </c:pt>
                <c:pt idx="3">
                  <c:v>35.799999999999997</c:v>
                </c:pt>
                <c:pt idx="4">
                  <c:v>37</c:v>
                </c:pt>
                <c:pt idx="5">
                  <c:v>40.1</c:v>
                </c:pt>
                <c:pt idx="6">
                  <c:v>40.1</c:v>
                </c:pt>
                <c:pt idx="7">
                  <c:v>42.6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251472"/>
        <c:axId val="1679247664"/>
      </c:lineChart>
      <c:catAx>
        <c:axId val="16792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247120"/>
        <c:crosses val="autoZero"/>
        <c:auto val="1"/>
        <c:lblAlgn val="ctr"/>
        <c:lblOffset val="100"/>
        <c:noMultiLvlLbl val="0"/>
      </c:catAx>
      <c:valAx>
        <c:axId val="16792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활용 시간</a:t>
                </a:r>
                <a:r>
                  <a:rPr lang="en-US" altLang="ko-KR"/>
                  <a:t>(</a:t>
                </a:r>
                <a:r>
                  <a:rPr lang="ko-KR" altLang="en-US"/>
                  <a:t>시간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240048"/>
        <c:crosses val="autoZero"/>
        <c:crossBetween val="between"/>
      </c:valAx>
      <c:valAx>
        <c:axId val="16792476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과의존 위험군</a:t>
                </a:r>
                <a:r>
                  <a:rPr lang="en-US" altLang="ko-KR"/>
                  <a:t>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251472"/>
        <c:crosses val="max"/>
        <c:crossBetween val="between"/>
      </c:valAx>
      <c:catAx>
        <c:axId val="167925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92476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스마트기기 활용시간과 청소년 과의존 위험군 추이 </a:t>
            </a:r>
            <a:r>
              <a:rPr lang="en-US" altLang="ko-KR"/>
              <a:t>(</a:t>
            </a:r>
            <a:r>
              <a:rPr lang="ko-KR" altLang="en-US"/>
              <a:t>코로나 시기 제외</a:t>
            </a:r>
            <a:r>
              <a:rPr lang="en-US" altLang="ko-KR"/>
              <a:t>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스마트기기 활용시간 평일(시간)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6"/>
              <c:pt idx="0">
                <c:v>2016</c:v>
              </c:pt>
              <c:pt idx="1">
                <c:v>2018</c:v>
              </c:pt>
              <c:pt idx="2">
                <c:v>2019</c:v>
              </c:pt>
              <c:pt idx="3">
                <c:v>2022</c:v>
              </c:pt>
              <c:pt idx="4">
                <c:v>2023</c:v>
              </c:pt>
              <c:pt idx="5">
                <c:v>2024</c:v>
              </c:pt>
            </c:numLit>
          </c:cat>
          <c:val>
            <c:numRef>
              <c:f>Sheet1!$I$2:$I$7</c:f>
              <c:numCache>
                <c:formatCode>General</c:formatCode>
                <c:ptCount val="6"/>
                <c:pt idx="0">
                  <c:v>2</c:v>
                </c:pt>
                <c:pt idx="1">
                  <c:v>1.9</c:v>
                </c:pt>
                <c:pt idx="2">
                  <c:v>1.9</c:v>
                </c:pt>
                <c:pt idx="3">
                  <c:v>1.8</c:v>
                </c:pt>
                <c:pt idx="4">
                  <c:v>1.8</c:v>
                </c:pt>
                <c:pt idx="5">
                  <c:v>1.7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스마트기기 활용시간 휴일(시간)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6"/>
              <c:pt idx="0">
                <c:v>2016</c:v>
              </c:pt>
              <c:pt idx="1">
                <c:v>2018</c:v>
              </c:pt>
              <c:pt idx="2">
                <c:v>2019</c:v>
              </c:pt>
              <c:pt idx="3">
                <c:v>2022</c:v>
              </c:pt>
              <c:pt idx="4">
                <c:v>2023</c:v>
              </c:pt>
              <c:pt idx="5">
                <c:v>2024</c:v>
              </c:pt>
            </c:numLit>
          </c:cat>
          <c:val>
            <c:numRef>
              <c:f>Sheet1!$J$2:$J$7</c:f>
              <c:numCache>
                <c:formatCode>General</c:formatCode>
                <c:ptCount val="6"/>
                <c:pt idx="0">
                  <c:v>2.6</c:v>
                </c:pt>
                <c:pt idx="1">
                  <c:v>2.8</c:v>
                </c:pt>
                <c:pt idx="2">
                  <c:v>2.6</c:v>
                </c:pt>
                <c:pt idx="3">
                  <c:v>2.6</c:v>
                </c:pt>
                <c:pt idx="4">
                  <c:v>2.6</c:v>
                </c:pt>
                <c:pt idx="5">
                  <c:v>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237328"/>
        <c:axId val="1679237872"/>
      </c:lineChart>
      <c:lineChart>
        <c:grouping val="standard"/>
        <c:varyColors val="0"/>
        <c:ser>
          <c:idx val="2"/>
          <c:order val="2"/>
          <c:tx>
            <c:strRef>
              <c:f>Sheet1!$K$1</c:f>
              <c:strCache>
                <c:ptCount val="1"/>
                <c:pt idx="0">
                  <c:v>과의존 위험군 청소년(%)</c:v>
                </c:pt>
              </c:strCache>
            </c:strRef>
          </c:tx>
          <c:spPr>
            <a:ln w="28575" cap="rnd">
              <a:solidFill>
                <a:srgbClr val="FF3B3B"/>
              </a:solidFill>
              <a:round/>
            </a:ln>
            <a:effectLst/>
          </c:spPr>
          <c:marker>
            <c:symbol val="none"/>
          </c:marker>
          <c:val>
            <c:numRef>
              <c:f>Sheet1!$K$2:$K$7</c:f>
              <c:numCache>
                <c:formatCode>General</c:formatCode>
                <c:ptCount val="6"/>
                <c:pt idx="0">
                  <c:v>30.6</c:v>
                </c:pt>
                <c:pt idx="1">
                  <c:v>29.3</c:v>
                </c:pt>
                <c:pt idx="2">
                  <c:v>30.2</c:v>
                </c:pt>
                <c:pt idx="3">
                  <c:v>40.1</c:v>
                </c:pt>
                <c:pt idx="4">
                  <c:v>40.1</c:v>
                </c:pt>
                <c:pt idx="5">
                  <c:v>42.6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239504"/>
        <c:axId val="1679238960"/>
      </c:lineChart>
      <c:catAx>
        <c:axId val="167923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237872"/>
        <c:crosses val="autoZero"/>
        <c:auto val="1"/>
        <c:lblAlgn val="ctr"/>
        <c:lblOffset val="100"/>
        <c:noMultiLvlLbl val="0"/>
      </c:catAx>
      <c:valAx>
        <c:axId val="167923787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활용 시간</a:t>
                </a:r>
                <a:r>
                  <a:rPr lang="en-US" altLang="ko-KR"/>
                  <a:t>(</a:t>
                </a:r>
                <a:r>
                  <a:rPr lang="ko-KR" altLang="en-US"/>
                  <a:t>시간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237328"/>
        <c:crosses val="autoZero"/>
        <c:crossBetween val="between"/>
      </c:valAx>
      <c:valAx>
        <c:axId val="16792389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과의존 위험군</a:t>
                </a:r>
                <a:r>
                  <a:rPr lang="en-US" altLang="ko-KR"/>
                  <a:t>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9239504"/>
        <c:crosses val="max"/>
        <c:crossBetween val="between"/>
      </c:valAx>
      <c:catAx>
        <c:axId val="16792395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79238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청소년 여가시간 동영상 컨텐츠 시청</a:t>
            </a:r>
            <a:r>
              <a:rPr lang="en-US" altLang="ko-KR"/>
              <a:t>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여가시간 동영상 컨텐츠 시청(%)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2017</c:v>
              </c:pt>
              <c:pt idx="1">
                <c:v>2019</c:v>
              </c:pt>
              <c:pt idx="2">
                <c:v>2021</c:v>
              </c:pt>
              <c:pt idx="3">
                <c:v>2023</c:v>
              </c:pt>
            </c:numLit>
          </c:cat>
          <c:val>
            <c:numRef>
              <c:f>(Sheet2!$B$3,Sheet2!$B$5,Sheet2!$B$7,Sheet2!$B$9)</c:f>
              <c:numCache>
                <c:formatCode>General</c:formatCode>
                <c:ptCount val="4"/>
                <c:pt idx="0">
                  <c:v>64.3</c:v>
                </c:pt>
                <c:pt idx="1">
                  <c:v>59.5</c:v>
                </c:pt>
                <c:pt idx="2">
                  <c:v>88.3</c:v>
                </c:pt>
                <c:pt idx="3">
                  <c:v>87.5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095728"/>
        <c:axId val="1819107696"/>
      </c:barChart>
      <c:catAx>
        <c:axId val="181909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07696"/>
        <c:crosses val="autoZero"/>
        <c:auto val="1"/>
        <c:lblAlgn val="ctr"/>
        <c:lblOffset val="100"/>
        <c:noMultiLvlLbl val="0"/>
      </c:catAx>
      <c:valAx>
        <c:axId val="1819107696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09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학습목적 이외 앉아서 보낸 시간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주중 학습목적 이외 앉아서 보낸 시간(시간)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</c:numLit>
          </c:cat>
          <c:val>
            <c:numRef>
              <c:f>Sheet2!$C$2:$C$10</c:f>
              <c:numCache>
                <c:formatCode>General</c:formatCode>
                <c:ptCount val="9"/>
                <c:pt idx="0">
                  <c:v>2.4</c:v>
                </c:pt>
                <c:pt idx="1">
                  <c:v>2.5</c:v>
                </c:pt>
                <c:pt idx="2">
                  <c:v>3.1</c:v>
                </c:pt>
                <c:pt idx="3">
                  <c:v>2.8</c:v>
                </c:pt>
                <c:pt idx="4">
                  <c:v>3.8</c:v>
                </c:pt>
                <c:pt idx="5">
                  <c:v>3.5</c:v>
                </c:pt>
                <c:pt idx="6">
                  <c:v>3.1</c:v>
                </c:pt>
                <c:pt idx="7">
                  <c:v>3.4</c:v>
                </c:pt>
                <c:pt idx="8">
                  <c:v>3.3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주말 학습목적 이외 앉아서 보낸 시간(시간)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9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</c:numLit>
          </c:cat>
          <c:val>
            <c:numRef>
              <c:f>Sheet2!$D$2:$D$10</c:f>
              <c:numCache>
                <c:formatCode>General</c:formatCode>
                <c:ptCount val="9"/>
                <c:pt idx="0">
                  <c:v>4.5</c:v>
                </c:pt>
                <c:pt idx="1">
                  <c:v>4.5</c:v>
                </c:pt>
                <c:pt idx="2">
                  <c:v>5</c:v>
                </c:pt>
                <c:pt idx="3">
                  <c:v>4.8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5.4</c:v>
                </c:pt>
                <c:pt idx="8">
                  <c:v>5.0999999999999996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102256"/>
        <c:axId val="1819102800"/>
      </c:lineChart>
      <c:catAx>
        <c:axId val="181910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02800"/>
        <c:crosses val="autoZero"/>
        <c:auto val="1"/>
        <c:lblAlgn val="ctr"/>
        <c:lblOffset val="100"/>
        <c:noMultiLvlLbl val="0"/>
      </c:catAx>
      <c:valAx>
        <c:axId val="18191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0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하루 60분 주 5일 이상 신체활동실천율(%)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9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  <c:pt idx="4">
                <c:v>2020</c:v>
              </c:pt>
              <c:pt idx="5">
                <c:v>2021</c:v>
              </c:pt>
              <c:pt idx="6">
                <c:v>2022</c:v>
              </c:pt>
              <c:pt idx="7">
                <c:v>2023</c:v>
              </c:pt>
              <c:pt idx="8">
                <c:v>2024</c:v>
              </c:pt>
            </c:numLit>
          </c:cat>
          <c:val>
            <c:numRef>
              <c:f>Sheet2!$E$2:$E$10</c:f>
              <c:numCache>
                <c:formatCode>General</c:formatCode>
                <c:ptCount val="9"/>
                <c:pt idx="0">
                  <c:v>12.9</c:v>
                </c:pt>
                <c:pt idx="1">
                  <c:v>13.5</c:v>
                </c:pt>
                <c:pt idx="2">
                  <c:v>13.7</c:v>
                </c:pt>
                <c:pt idx="3">
                  <c:v>14.4</c:v>
                </c:pt>
                <c:pt idx="4">
                  <c:v>13.8</c:v>
                </c:pt>
                <c:pt idx="5">
                  <c:v>14.4</c:v>
                </c:pt>
                <c:pt idx="6">
                  <c:v>16.100000000000001</c:v>
                </c:pt>
                <c:pt idx="7">
                  <c:v>16.899999999999999</c:v>
                </c:pt>
                <c:pt idx="8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103344"/>
        <c:axId val="1819096816"/>
      </c:lineChart>
      <c:catAx>
        <c:axId val="181910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096816"/>
        <c:crosses val="autoZero"/>
        <c:auto val="1"/>
        <c:lblAlgn val="ctr"/>
        <c:lblOffset val="100"/>
        <c:noMultiLvlLbl val="0"/>
      </c:catAx>
      <c:valAx>
        <c:axId val="18190968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10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YMHBI 점수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</c:numLit>
          </c:cat>
          <c:val>
            <c:numRef>
              <c:f>Sheet4!$B$2:$B$6</c:f>
              <c:numCache>
                <c:formatCode>General</c:formatCode>
                <c:ptCount val="5"/>
                <c:pt idx="0">
                  <c:v>59.056345</c:v>
                </c:pt>
                <c:pt idx="1">
                  <c:v>55.049197999999997</c:v>
                </c:pt>
                <c:pt idx="2">
                  <c:v>58.015062</c:v>
                </c:pt>
                <c:pt idx="3">
                  <c:v>57.586466000000001</c:v>
                </c:pt>
                <c:pt idx="4">
                  <c:v>56.449947999999999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099536"/>
        <c:axId val="1819097904"/>
      </c:lineChart>
      <c:catAx>
        <c:axId val="181909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097904"/>
        <c:crosses val="autoZero"/>
        <c:auto val="1"/>
        <c:lblAlgn val="ctr"/>
        <c:lblOffset val="100"/>
        <c:noMultiLvlLbl val="0"/>
      </c:catAx>
      <c:valAx>
        <c:axId val="18190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909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29470</xdr:colOff>
      <xdr:row>10</xdr:row>
      <xdr:rowOff>8630</xdr:rowOff>
    </xdr:from>
    <xdr:to>
      <xdr:col>4</xdr:col>
      <xdr:colOff>0</xdr:colOff>
      <xdr:row>28</xdr:row>
      <xdr:rowOff>165253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11196</xdr:colOff>
      <xdr:row>10</xdr:row>
      <xdr:rowOff>16600</xdr:rowOff>
    </xdr:from>
    <xdr:to>
      <xdr:col>10</xdr:col>
      <xdr:colOff>1882568</xdr:colOff>
      <xdr:row>28</xdr:row>
      <xdr:rowOff>167391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5860</xdr:rowOff>
    </xdr:from>
    <xdr:to>
      <xdr:col>3</xdr:col>
      <xdr:colOff>257907</xdr:colOff>
      <xdr:row>28</xdr:row>
      <xdr:rowOff>130629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543449</xdr:colOff>
      <xdr:row>12</xdr:row>
      <xdr:rowOff>0</xdr:rowOff>
    </xdr:from>
    <xdr:to>
      <xdr:col>5</xdr:col>
      <xdr:colOff>468086</xdr:colOff>
      <xdr:row>28</xdr:row>
      <xdr:rowOff>130629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565949</xdr:colOff>
      <xdr:row>11</xdr:row>
      <xdr:rowOff>212488</xdr:rowOff>
    </xdr:from>
    <xdr:to>
      <xdr:col>12</xdr:col>
      <xdr:colOff>639535</xdr:colOff>
      <xdr:row>28</xdr:row>
      <xdr:rowOff>136071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6</xdr:row>
      <xdr:rowOff>95250</xdr:rowOff>
    </xdr:from>
    <xdr:to>
      <xdr:col>12</xdr:col>
      <xdr:colOff>381000</xdr:colOff>
      <xdr:row>18</xdr:row>
      <xdr:rowOff>186690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78" zoomScaleNormal="105" workbookViewId="0">
      <selection sqref="A1:D1"/>
    </sheetView>
  </sheetViews>
  <sheetFormatPr defaultRowHeight="17.399999999999999" x14ac:dyDescent="0.4"/>
  <cols>
    <col min="2" max="3" width="31.59765625" bestFit="1" customWidth="1"/>
    <col min="4" max="4" width="24.796875" bestFit="1" customWidth="1"/>
    <col min="9" max="10" width="31.59765625" bestFit="1" customWidth="1"/>
    <col min="11" max="11" width="24.796875" bestFit="1" customWidth="1"/>
  </cols>
  <sheetData>
    <row r="1" spans="1:12" ht="18" thickBot="1" x14ac:dyDescent="0.45">
      <c r="A1" s="2" t="s">
        <v>0</v>
      </c>
      <c r="B1" s="4" t="s">
        <v>6</v>
      </c>
      <c r="C1" s="5" t="s">
        <v>4</v>
      </c>
      <c r="D1" s="6" t="s">
        <v>1</v>
      </c>
      <c r="E1" s="1" t="s">
        <v>2</v>
      </c>
      <c r="F1" s="1"/>
      <c r="G1" s="1"/>
      <c r="H1" s="2" t="s">
        <v>0</v>
      </c>
      <c r="I1" s="4" t="s">
        <v>5</v>
      </c>
      <c r="J1" s="5" t="s">
        <v>7</v>
      </c>
      <c r="K1" s="6" t="s">
        <v>1</v>
      </c>
      <c r="L1" s="1" t="s">
        <v>3</v>
      </c>
    </row>
    <row r="2" spans="1:12" x14ac:dyDescent="0.4">
      <c r="A2" s="3">
        <v>2016</v>
      </c>
      <c r="B2" s="3">
        <v>2</v>
      </c>
      <c r="C2" s="3">
        <v>2.6</v>
      </c>
      <c r="D2" s="3">
        <v>30.6</v>
      </c>
      <c r="E2" s="3">
        <f>CORREL(B2:B9, D2:D9)</f>
        <v>-0.12191853210413431</v>
      </c>
      <c r="H2" s="3">
        <v>2016</v>
      </c>
      <c r="I2" s="3">
        <v>2</v>
      </c>
      <c r="J2" s="3">
        <v>2.6</v>
      </c>
      <c r="K2" s="3">
        <v>30.6</v>
      </c>
      <c r="L2" s="3">
        <f>CORREL(I2:I7, K2:K7)</f>
        <v>-0.89295177174876383</v>
      </c>
    </row>
    <row r="3" spans="1:12" x14ac:dyDescent="0.4">
      <c r="A3" s="3">
        <v>2018</v>
      </c>
      <c r="B3" s="3">
        <v>1.9</v>
      </c>
      <c r="C3" s="3">
        <v>2.8</v>
      </c>
      <c r="D3" s="3">
        <v>29.3</v>
      </c>
      <c r="E3" s="3">
        <f>CORREL(C2:C9, D2:D9)</f>
        <v>-9.882905739548549E-2</v>
      </c>
      <c r="H3" s="3">
        <v>2018</v>
      </c>
      <c r="I3" s="3">
        <v>1.9</v>
      </c>
      <c r="J3" s="3">
        <v>2.8</v>
      </c>
      <c r="K3" s="3">
        <v>29.3</v>
      </c>
      <c r="L3" s="3">
        <f>CORREL(J2:J7, K2:K7)</f>
        <v>-0.69469300830494851</v>
      </c>
    </row>
    <row r="4" spans="1:12" x14ac:dyDescent="0.4">
      <c r="A4" s="3">
        <v>2019</v>
      </c>
      <c r="B4" s="3">
        <v>1.9</v>
      </c>
      <c r="C4" s="3">
        <v>2.6</v>
      </c>
      <c r="D4" s="3">
        <v>30.2</v>
      </c>
      <c r="H4" s="3">
        <v>2019</v>
      </c>
      <c r="I4" s="3">
        <v>1.9</v>
      </c>
      <c r="J4" s="3">
        <v>2.6</v>
      </c>
      <c r="K4" s="3">
        <v>30.2</v>
      </c>
    </row>
    <row r="5" spans="1:12" x14ac:dyDescent="0.4">
      <c r="A5" s="3">
        <v>2020</v>
      </c>
      <c r="B5" s="3">
        <v>2.8</v>
      </c>
      <c r="C5" s="3">
        <v>3.6</v>
      </c>
      <c r="D5" s="3">
        <v>35.799999999999997</v>
      </c>
      <c r="H5" s="3">
        <v>2022</v>
      </c>
      <c r="I5" s="3">
        <v>1.8</v>
      </c>
      <c r="J5" s="3">
        <v>2.6</v>
      </c>
      <c r="K5" s="3">
        <v>40.1</v>
      </c>
    </row>
    <row r="6" spans="1:12" x14ac:dyDescent="0.4">
      <c r="A6" s="3">
        <v>2021</v>
      </c>
      <c r="B6" s="3">
        <v>2.6</v>
      </c>
      <c r="C6" s="3">
        <v>3.4</v>
      </c>
      <c r="D6" s="3">
        <v>37</v>
      </c>
      <c r="H6" s="3">
        <v>2023</v>
      </c>
      <c r="I6" s="3">
        <v>1.8</v>
      </c>
      <c r="J6" s="3">
        <v>2.6</v>
      </c>
      <c r="K6" s="3">
        <v>40.1</v>
      </c>
    </row>
    <row r="7" spans="1:12" x14ac:dyDescent="0.4">
      <c r="A7" s="3">
        <v>2022</v>
      </c>
      <c r="B7" s="3">
        <v>1.8</v>
      </c>
      <c r="C7" s="3">
        <v>2.6</v>
      </c>
      <c r="D7" s="3">
        <v>40.1</v>
      </c>
      <c r="H7" s="3">
        <v>2024</v>
      </c>
      <c r="I7" s="3">
        <v>1.7</v>
      </c>
      <c r="J7" s="3">
        <v>2.4</v>
      </c>
      <c r="K7" s="3">
        <v>42.6</v>
      </c>
    </row>
    <row r="8" spans="1:12" x14ac:dyDescent="0.4">
      <c r="A8" s="3">
        <v>2023</v>
      </c>
      <c r="B8" s="3">
        <v>1.8</v>
      </c>
      <c r="C8" s="3">
        <v>2.6</v>
      </c>
      <c r="D8" s="3">
        <v>40.1</v>
      </c>
    </row>
    <row r="9" spans="1:12" x14ac:dyDescent="0.4">
      <c r="A9" s="3">
        <v>2024</v>
      </c>
      <c r="B9" s="3">
        <v>1.7</v>
      </c>
      <c r="C9" s="3">
        <v>2.4</v>
      </c>
      <c r="D9" s="3">
        <v>42.6</v>
      </c>
    </row>
    <row r="10" spans="1:12" x14ac:dyDescent="0.4">
      <c r="A10" s="1"/>
    </row>
    <row r="11" spans="1:12" x14ac:dyDescent="0.4">
      <c r="A11" s="1"/>
    </row>
    <row r="12" spans="1:12" x14ac:dyDescent="0.4">
      <c r="A12" s="1"/>
    </row>
    <row r="15" spans="1:12" x14ac:dyDescent="0.4">
      <c r="B15" t="s">
        <v>9</v>
      </c>
      <c r="F15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A2" zoomScale="61" zoomScaleNormal="70" workbookViewId="0">
      <selection activeCell="B40" sqref="B40"/>
    </sheetView>
  </sheetViews>
  <sheetFormatPr defaultRowHeight="17.399999999999999" x14ac:dyDescent="0.4"/>
  <cols>
    <col min="2" max="2" width="29.3984375" bestFit="1" customWidth="1"/>
    <col min="3" max="4" width="38.296875" bestFit="1" customWidth="1"/>
    <col min="5" max="5" width="38.69921875" bestFit="1" customWidth="1"/>
    <col min="7" max="8" width="13.19921875" bestFit="1" customWidth="1"/>
    <col min="9" max="9" width="13.5" bestFit="1" customWidth="1"/>
  </cols>
  <sheetData>
    <row r="1" spans="1:9" ht="17.399999999999999" customHeight="1" thickBot="1" x14ac:dyDescent="0.45">
      <c r="A1" s="7" t="s">
        <v>10</v>
      </c>
      <c r="B1" s="8" t="s">
        <v>16</v>
      </c>
      <c r="C1" s="9" t="s">
        <v>14</v>
      </c>
      <c r="D1" s="15" t="s">
        <v>15</v>
      </c>
      <c r="E1" s="10" t="s">
        <v>18</v>
      </c>
      <c r="F1" s="11" t="s">
        <v>11</v>
      </c>
      <c r="G1" s="16" t="s">
        <v>13</v>
      </c>
      <c r="H1" s="12" t="s">
        <v>17</v>
      </c>
      <c r="I1" s="13" t="s">
        <v>12</v>
      </c>
    </row>
    <row r="2" spans="1:9" x14ac:dyDescent="0.4">
      <c r="A2" s="3">
        <v>2016</v>
      </c>
      <c r="B2" s="3"/>
      <c r="C2" s="3">
        <v>2.4</v>
      </c>
      <c r="D2" s="14">
        <v>4.5</v>
      </c>
      <c r="E2" s="3">
        <v>12.9</v>
      </c>
      <c r="F2" s="3">
        <v>9.1</v>
      </c>
      <c r="G2" s="3">
        <v>55.7</v>
      </c>
      <c r="H2" s="3">
        <v>6.3</v>
      </c>
      <c r="I2" s="3">
        <v>25.9</v>
      </c>
    </row>
    <row r="3" spans="1:9" x14ac:dyDescent="0.4">
      <c r="A3" s="3">
        <v>2017</v>
      </c>
      <c r="B3" s="3">
        <v>64.3</v>
      </c>
      <c r="C3" s="3">
        <v>2.5</v>
      </c>
      <c r="D3" s="3">
        <v>4.5</v>
      </c>
      <c r="E3" s="3">
        <v>13.5</v>
      </c>
      <c r="F3" s="3">
        <v>10</v>
      </c>
      <c r="G3" s="3">
        <v>53.9</v>
      </c>
      <c r="H3" s="3">
        <v>6.3</v>
      </c>
      <c r="I3" s="3">
        <v>25.1</v>
      </c>
    </row>
    <row r="4" spans="1:9" x14ac:dyDescent="0.4">
      <c r="A4" s="3">
        <v>2018</v>
      </c>
      <c r="B4" s="3"/>
      <c r="C4" s="3">
        <v>3.1</v>
      </c>
      <c r="D4" s="3">
        <v>5</v>
      </c>
      <c r="E4" s="3">
        <v>13.7</v>
      </c>
      <c r="F4" s="3">
        <v>10.8</v>
      </c>
      <c r="G4" s="3">
        <v>53.7</v>
      </c>
      <c r="H4" s="3">
        <v>6.2</v>
      </c>
      <c r="I4" s="3">
        <v>23</v>
      </c>
    </row>
    <row r="5" spans="1:9" x14ac:dyDescent="0.4">
      <c r="A5" s="3">
        <v>2019</v>
      </c>
      <c r="B5" s="3">
        <v>59.5</v>
      </c>
      <c r="C5" s="3">
        <v>2.8</v>
      </c>
      <c r="D5" s="3">
        <v>4.8</v>
      </c>
      <c r="E5" s="3">
        <v>14.4</v>
      </c>
      <c r="F5" s="3">
        <v>11.1</v>
      </c>
      <c r="G5" s="3">
        <v>53.3</v>
      </c>
      <c r="H5" s="3">
        <v>6.3</v>
      </c>
      <c r="I5" s="3">
        <v>21.4</v>
      </c>
    </row>
    <row r="6" spans="1:9" x14ac:dyDescent="0.4">
      <c r="A6" s="3">
        <v>2020</v>
      </c>
      <c r="B6" s="3"/>
      <c r="C6" s="3">
        <v>3.8</v>
      </c>
      <c r="D6" s="3">
        <v>5.5</v>
      </c>
      <c r="E6" s="3">
        <v>13.8</v>
      </c>
      <c r="F6" s="3">
        <v>12.1</v>
      </c>
      <c r="G6" s="3"/>
      <c r="H6" s="3">
        <v>6.2</v>
      </c>
      <c r="I6" s="3">
        <v>30.3</v>
      </c>
    </row>
    <row r="7" spans="1:9" x14ac:dyDescent="0.4">
      <c r="A7" s="3">
        <v>2021</v>
      </c>
      <c r="B7" s="3">
        <v>88.3</v>
      </c>
      <c r="C7" s="3">
        <v>3.5</v>
      </c>
      <c r="D7" s="3">
        <v>5.3</v>
      </c>
      <c r="E7" s="3">
        <v>14.4</v>
      </c>
      <c r="F7" s="3">
        <v>13.5</v>
      </c>
      <c r="G7" s="3">
        <v>58.1</v>
      </c>
      <c r="H7" s="3">
        <v>6.2</v>
      </c>
      <c r="I7" s="3">
        <v>22.9</v>
      </c>
    </row>
    <row r="8" spans="1:9" x14ac:dyDescent="0.4">
      <c r="A8" s="3">
        <v>2022</v>
      </c>
      <c r="B8" s="3"/>
      <c r="C8" s="3">
        <v>3.1</v>
      </c>
      <c r="D8" s="3">
        <v>5</v>
      </c>
      <c r="E8" s="3">
        <v>16.100000000000001</v>
      </c>
      <c r="F8" s="3">
        <v>12.1</v>
      </c>
      <c r="G8" s="3">
        <v>55.4</v>
      </c>
      <c r="H8" s="3">
        <v>6.1</v>
      </c>
      <c r="I8" s="3">
        <v>22.2</v>
      </c>
    </row>
    <row r="9" spans="1:9" x14ac:dyDescent="0.4">
      <c r="A9" s="3">
        <v>2023</v>
      </c>
      <c r="B9" s="3">
        <v>87.5</v>
      </c>
      <c r="C9" s="3">
        <v>3.4</v>
      </c>
      <c r="D9" s="3">
        <v>5.4</v>
      </c>
      <c r="E9" s="3">
        <v>16.899999999999999</v>
      </c>
      <c r="F9" s="3">
        <v>12</v>
      </c>
      <c r="G9" s="3">
        <v>56.1</v>
      </c>
      <c r="H9" s="3">
        <v>6.2</v>
      </c>
      <c r="I9" s="3">
        <v>26</v>
      </c>
    </row>
    <row r="10" spans="1:9" x14ac:dyDescent="0.4">
      <c r="A10" s="3">
        <v>2024</v>
      </c>
      <c r="B10" s="3"/>
      <c r="C10" s="3">
        <v>3.3</v>
      </c>
      <c r="D10" s="3">
        <v>5.0999999999999996</v>
      </c>
      <c r="E10" s="3">
        <v>17</v>
      </c>
      <c r="F10" s="3">
        <v>12.5</v>
      </c>
      <c r="G10" s="3">
        <v>57.2</v>
      </c>
      <c r="H10" s="3">
        <v>6.2</v>
      </c>
      <c r="I10" s="3">
        <v>21.9</v>
      </c>
    </row>
    <row r="34" spans="18:18" x14ac:dyDescent="0.4">
      <c r="R34" t="s">
        <v>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Normal="100" workbookViewId="0">
      <selection activeCell="E21" sqref="E21"/>
    </sheetView>
  </sheetViews>
  <sheetFormatPr defaultRowHeight="17.399999999999999" x14ac:dyDescent="0.4"/>
  <cols>
    <col min="2" max="3" width="22.8984375" bestFit="1" customWidth="1"/>
    <col min="4" max="4" width="69.59765625" bestFit="1" customWidth="1"/>
  </cols>
  <sheetData>
    <row r="1" spans="1:4" ht="18" thickBot="1" x14ac:dyDescent="0.45">
      <c r="A1" s="2" t="s">
        <v>0</v>
      </c>
      <c r="B1" s="4" t="s">
        <v>20</v>
      </c>
      <c r="C1" s="5" t="s">
        <v>21</v>
      </c>
      <c r="D1" s="6" t="s">
        <v>23</v>
      </c>
    </row>
    <row r="2" spans="1:4" x14ac:dyDescent="0.4">
      <c r="A2" s="3">
        <v>2017</v>
      </c>
      <c r="B2" s="3"/>
      <c r="C2" s="3"/>
      <c r="D2" s="3">
        <v>46.7</v>
      </c>
    </row>
    <row r="3" spans="1:4" x14ac:dyDescent="0.4">
      <c r="A3" s="3">
        <v>2020</v>
      </c>
      <c r="B3" s="3"/>
      <c r="C3" s="3"/>
      <c r="D3" s="3">
        <v>43.2</v>
      </c>
    </row>
    <row r="4" spans="1:4" x14ac:dyDescent="0.4">
      <c r="A4" s="3">
        <v>2021</v>
      </c>
      <c r="B4" s="3">
        <v>23.4</v>
      </c>
      <c r="C4" s="3">
        <v>20.8</v>
      </c>
      <c r="D4" s="3"/>
    </row>
    <row r="5" spans="1:4" x14ac:dyDescent="0.4">
      <c r="A5" s="3">
        <v>2022</v>
      </c>
      <c r="B5" s="3">
        <v>37.5</v>
      </c>
      <c r="C5" s="3">
        <v>12.5</v>
      </c>
      <c r="D5" s="3"/>
    </row>
    <row r="6" spans="1:4" x14ac:dyDescent="0.4">
      <c r="A6" s="3">
        <v>2023</v>
      </c>
      <c r="B6" s="3">
        <v>36.799999999999997</v>
      </c>
      <c r="C6" s="3">
        <v>14.2</v>
      </c>
      <c r="D6" s="3">
        <v>34.700000000000003</v>
      </c>
    </row>
    <row r="7" spans="1:4" x14ac:dyDescent="0.4">
      <c r="A7" s="3">
        <v>2024</v>
      </c>
      <c r="B7" s="3">
        <v>37.1</v>
      </c>
      <c r="C7" s="3">
        <v>18.600000000000001</v>
      </c>
      <c r="D7" s="3"/>
    </row>
    <row r="8" spans="1:4" x14ac:dyDescent="0.4">
      <c r="A8" s="3">
        <v>2025</v>
      </c>
      <c r="B8" s="3">
        <v>37.5</v>
      </c>
      <c r="C8" s="3">
        <v>19.3</v>
      </c>
      <c r="D8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D7" zoomScale="131" workbookViewId="0">
      <selection activeCell="C17" sqref="C17"/>
    </sheetView>
  </sheetViews>
  <sheetFormatPr defaultRowHeight="17.399999999999999" x14ac:dyDescent="0.4"/>
  <cols>
    <col min="2" max="2" width="22.8984375" bestFit="1" customWidth="1"/>
  </cols>
  <sheetData>
    <row r="1" spans="1:2" ht="18" thickBot="1" x14ac:dyDescent="0.45">
      <c r="A1" s="2" t="s">
        <v>0</v>
      </c>
      <c r="B1" s="4" t="s">
        <v>22</v>
      </c>
    </row>
    <row r="2" spans="1:2" x14ac:dyDescent="0.4">
      <c r="A2" s="3">
        <v>2020</v>
      </c>
      <c r="B2" s="3">
        <v>59.056345</v>
      </c>
    </row>
    <row r="3" spans="1:2" x14ac:dyDescent="0.4">
      <c r="A3" s="3">
        <v>2021</v>
      </c>
      <c r="B3" s="3">
        <v>55.049197999999997</v>
      </c>
    </row>
    <row r="4" spans="1:2" x14ac:dyDescent="0.4">
      <c r="A4" s="3">
        <v>2022</v>
      </c>
      <c r="B4" s="3">
        <v>58.015062</v>
      </c>
    </row>
    <row r="5" spans="1:2" x14ac:dyDescent="0.4">
      <c r="A5" s="3">
        <v>2023</v>
      </c>
      <c r="B5" s="3">
        <v>57.586466000000001</v>
      </c>
    </row>
    <row r="6" spans="1:2" x14ac:dyDescent="0.4">
      <c r="A6" s="3">
        <v>2024</v>
      </c>
      <c r="B6" s="3">
        <v>56.449947999999999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aa</cp:lastModifiedBy>
  <dcterms:created xsi:type="dcterms:W3CDTF">2026-05-04T07:39:27Z</dcterms:created>
  <dcterms:modified xsi:type="dcterms:W3CDTF">2026-05-26T12:24:44Z</dcterms:modified>
</cp:coreProperties>
</file>